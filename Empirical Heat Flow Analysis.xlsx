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t Flow Math" sheetId="1" r:id="rId4"/>
    <sheet state="visible" name="Resources" sheetId="2" r:id="rId5"/>
  </sheets>
  <definedNames/>
  <calcPr/>
  <extLst>
    <ext uri="GoogleSheetsCustomDataVersion2">
      <go:sheetsCustomData xmlns:go="http://customooxmlschemas.google.com/" r:id="rId6" roundtripDataChecksum="dZBVcIkCiD1gqQrDE3r1O5YXIaG+YSXfZ0vEQBXTfy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======
ID#AAABiILCAZE
tc={93B7006E-3A5C-4DBF-A267-609DC9844CDC}    (2025-04-20 15:26:19)
[Threaded comment]
Your version of Excel allows you to read this threaded comment; however, any edits to it will get removed if the file is opened in a newer version of Excel. Learn more: https://go.microsoft.com/fwlink/?linkid=870924
Comment:
    Average wind speed</t>
      </text>
    </comment>
    <comment authorId="0" ref="C8">
      <text>
        <t xml:space="preserve">======
ID#AAABiILCAZA
tc={ED415FC4-539A-4788-91C4-069BA6DE258A}    (2025-04-20 15:26:19)
[Threaded comment]
Your version of Excel allows you to read this threaded comment; however, any edits to it will get removed if the file is opened in a newer version of Excel. Learn more: https://go.microsoft.com/fwlink/?linkid=870924
Comment:
    Coldest temp at 35 km</t>
      </text>
    </comment>
    <comment authorId="0" ref="C15">
      <text>
        <t xml:space="preserve">======
ID#AAABiILCAY8
tc={C8021D9B-0219-49B6-A937-655F65E327DD}    (2025-04-20 15:26:19)
[Threaded comment]
Your version of Excel allows you to read this threaded comment; however, any edits to it will get removed if the file is opened in a newer version of Excel. Learn more: https://go.microsoft.com/fwlink/?linkid=870924
Comment:
    Average wind speed</t>
      </text>
    </comment>
    <comment authorId="0" ref="C6">
      <text>
        <t xml:space="preserve">======
ID#AAABiILCAY4
tc={78979F38-CF7A-4EDC-BB50-B6C464F4CE34}    (2025-04-20 15:26:19)
[Threaded comment]
Your version of Excel allows you to read this threaded comment; however, any edits to it will get removed if the file is opened in a newer version of Excel. Learn more: https://go.microsoft.com/fwlink/?linkid=870924
Comment:
    Hottest temp at 35 km</t>
      </text>
    </comment>
  </commentList>
  <extLst>
    <ext uri="GoogleSheetsCustomDataVersion2">
      <go:sheetsCustomData xmlns:go="http://customooxmlschemas.google.com/" r:id="rId1" roundtripDataSignature="AMtx7mjpbLXNWa2VgKl8OwxIDh2Vp0dybg=="/>
    </ext>
  </extLst>
</comments>
</file>

<file path=xl/sharedStrings.xml><?xml version="1.0" encoding="utf-8"?>
<sst xmlns="http://schemas.openxmlformats.org/spreadsheetml/2006/main" count="65" uniqueCount="47">
  <si>
    <t>Known and Assumptions</t>
  </si>
  <si>
    <t xml:space="preserve">Start Here! Making no changes to assumptions and seeing what the numbers look like. </t>
  </si>
  <si>
    <t>Hot Case, initial NO TCS implimented</t>
  </si>
  <si>
    <t>n radiating to space</t>
  </si>
  <si>
    <t>Q_solar, W</t>
  </si>
  <si>
    <t>Q_internal, W</t>
  </si>
  <si>
    <t>Q_rad-environment, W</t>
  </si>
  <si>
    <t>half of side surfaces and top surface</t>
  </si>
  <si>
    <t>space node temp, k</t>
  </si>
  <si>
    <t>Q_convection, W</t>
  </si>
  <si>
    <t>all 6 surfaces</t>
  </si>
  <si>
    <t>environment temp hot, k</t>
  </si>
  <si>
    <t>environment temp cold, k</t>
  </si>
  <si>
    <t>q_solar flux, W/m^2</t>
  </si>
  <si>
    <t>Q_in, W</t>
  </si>
  <si>
    <t>absorbing heat from solar flux, internal load, radiation and convection</t>
  </si>
  <si>
    <t>SA faces, m^2</t>
  </si>
  <si>
    <t>Q_out, W</t>
  </si>
  <si>
    <t>emissivity base, e</t>
  </si>
  <si>
    <t>abosportivity base, a</t>
  </si>
  <si>
    <t>Q_net, W</t>
  </si>
  <si>
    <t>This is too high... need to reduce</t>
  </si>
  <si>
    <t>system temp, k</t>
  </si>
  <si>
    <t>if positive system is heating, if negative system is cooling. If 0 assume ss stable</t>
  </si>
  <si>
    <t>Stephan Boltzman Constant</t>
  </si>
  <si>
    <t>Convection h</t>
  </si>
  <si>
    <t>max wind speed</t>
  </si>
  <si>
    <t>Re</t>
  </si>
  <si>
    <t>lowest altitude and daytime</t>
  </si>
  <si>
    <t>highest altitude and nighttime</t>
  </si>
  <si>
    <t>dynamic viscosity</t>
  </si>
  <si>
    <t>Hot Case, with TCS</t>
  </si>
  <si>
    <t>Cold Case, with TCS</t>
  </si>
  <si>
    <t>density</t>
  </si>
  <si>
    <t>Wrap in MLI, e = .008</t>
  </si>
  <si>
    <t>Pr</t>
  </si>
  <si>
    <t>Cp</t>
  </si>
  <si>
    <t>cold surface temps</t>
  </si>
  <si>
    <t>k</t>
  </si>
  <si>
    <t>all six surfaces</t>
  </si>
  <si>
    <t>Nu….churchill-Bernstein approach</t>
  </si>
  <si>
    <t>hot case</t>
  </si>
  <si>
    <t>cold case</t>
  </si>
  <si>
    <t>needs 30 kW cooling</t>
  </si>
  <si>
    <t>needs 11 kW heating</t>
  </si>
  <si>
    <t>Emissivity of common materials</t>
  </si>
  <si>
    <t>Absorptivity of common materials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</si>
</sst>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u/>
      <sz val="22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textRotation="90" vertical="center" wrapText="1"/>
    </xf>
    <xf borderId="1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4" fillId="0" fontId="3" numFmtId="2" xfId="0" applyAlignment="1" applyBorder="1" applyFont="1" applyNumberFormat="1">
      <alignment horizontal="center" vertical="center"/>
    </xf>
    <xf borderId="0" fillId="0" fontId="4" numFmtId="0" xfId="0" applyFont="1"/>
    <xf borderId="4" fillId="0" fontId="5" numFmtId="0" xfId="0" applyBorder="1" applyFont="1"/>
    <xf borderId="0" fillId="0" fontId="4" numFmtId="0" xfId="0" applyAlignment="1" applyFont="1">
      <alignment readingOrder="0"/>
    </xf>
    <xf borderId="4" fillId="0" fontId="3" numFmtId="2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2" fontId="1" numFmtId="2" xfId="0" applyAlignment="1" applyBorder="1" applyFill="1" applyFont="1" applyNumberFormat="1">
      <alignment horizontal="center" vertical="center"/>
    </xf>
    <xf borderId="0" fillId="0" fontId="3" numFmtId="0" xfId="0" applyFont="1"/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4" fillId="0" fontId="3" numFmtId="164" xfId="0" applyAlignment="1" applyBorder="1" applyFont="1" applyNumberFormat="1">
      <alignment horizontal="center" vertical="center"/>
    </xf>
    <xf borderId="8" fillId="0" fontId="5" numFmtId="0" xfId="0" applyBorder="1" applyFont="1"/>
    <xf borderId="4" fillId="5" fontId="1" numFmtId="2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1238250</xdr:colOff>
      <xdr:row>20</xdr:row>
      <xdr:rowOff>85725</xdr:rowOff>
    </xdr:from>
    <xdr:ext cx="990600" cy="495300"/>
    <xdr:sp>
      <xdr:nvSpPr>
        <xdr:cNvPr id="3" name="Shape 3"/>
        <xdr:cNvSpPr/>
      </xdr:nvSpPr>
      <xdr:spPr>
        <a:xfrm>
          <a:off x="4860225" y="3541875"/>
          <a:ext cx="971550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200025</xdr:colOff>
      <xdr:row>13</xdr:row>
      <xdr:rowOff>76200</xdr:rowOff>
    </xdr:from>
    <xdr:ext cx="219075" cy="409575"/>
    <xdr:sp>
      <xdr:nvSpPr>
        <xdr:cNvPr id="4" name="Shape 4"/>
        <xdr:cNvSpPr/>
      </xdr:nvSpPr>
      <xdr:spPr>
        <a:xfrm>
          <a:off x="5241225" y="3579975"/>
          <a:ext cx="209550" cy="400050"/>
        </a:xfrm>
        <a:prstGeom prst="down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621C1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gineeringtoolbox.com/emissivity-coefficients-d_447.html" TargetMode="External"/><Relationship Id="rId2" Type="http://schemas.openxmlformats.org/officeDocument/2006/relationships/hyperlink" Target="https://www.engineeringtoolbox.com/solar-radiation-absorbed-materials-d_1568.html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2.75"/>
    <col customWidth="1" min="3" max="3" width="12.25"/>
    <col customWidth="1" min="4" max="4" width="10.13"/>
    <col customWidth="1" min="5" max="5" width="20.13"/>
    <col customWidth="1" min="6" max="6" width="12.25"/>
    <col customWidth="1" min="7" max="7" width="37.75"/>
    <col customWidth="1" min="8" max="8" width="21.75"/>
    <col customWidth="1" min="9" max="9" width="12.75"/>
    <col customWidth="1" min="10" max="10" width="24.13"/>
    <col customWidth="1" min="11" max="26" width="12.75"/>
  </cols>
  <sheetData>
    <row r="1" ht="15.75" customHeight="1">
      <c r="A1" s="1" t="s">
        <v>0</v>
      </c>
      <c r="B1" s="2"/>
      <c r="C1" s="3"/>
      <c r="D1" s="4" t="s">
        <v>1</v>
      </c>
      <c r="E1" s="5" t="s">
        <v>2</v>
      </c>
      <c r="F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6" t="s">
        <v>3</v>
      </c>
      <c r="B2" s="7">
        <v>1.0</v>
      </c>
      <c r="C2" s="3"/>
      <c r="D2" s="8"/>
      <c r="E2" s="6" t="s">
        <v>4</v>
      </c>
      <c r="F2" s="7">
        <f>B8*B9*B11</f>
        <v>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6"/>
      <c r="B3" s="7"/>
      <c r="C3" s="3"/>
      <c r="D3" s="8"/>
      <c r="E3" s="6" t="s">
        <v>5</v>
      </c>
      <c r="F3" s="7">
        <v>150.0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/>
      <c r="B4" s="7"/>
      <c r="C4" s="3"/>
      <c r="D4" s="8"/>
      <c r="E4" s="6" t="s">
        <v>6</v>
      </c>
      <c r="F4" s="9">
        <f>((B10*B13*1*B9*(B12^4-B6^4)*0.5)*4)*-1+(B10*B13*1*B9*(B12^4-B6^4))*-1</f>
        <v>466.6448556</v>
      </c>
      <c r="G4" s="10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6" t="s">
        <v>8</v>
      </c>
      <c r="B5" s="7">
        <v>3.0</v>
      </c>
      <c r="C5" s="3"/>
      <c r="D5" s="8"/>
      <c r="E5" s="7" t="s">
        <v>9</v>
      </c>
      <c r="F5" s="7">
        <f>(B14*B9*(B12-B6))*6*-1</f>
        <v>28942.86152</v>
      </c>
      <c r="G5" s="10" t="s">
        <v>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6" t="s">
        <v>11</v>
      </c>
      <c r="B6" s="7">
        <v>400.0</v>
      </c>
      <c r="C6" s="3"/>
      <c r="D6" s="8"/>
      <c r="E6" s="6"/>
      <c r="F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6" t="s">
        <v>12</v>
      </c>
      <c r="B7" s="7">
        <v>350.0</v>
      </c>
      <c r="C7" s="3"/>
      <c r="D7" s="8"/>
      <c r="E7" s="7"/>
      <c r="F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" t="s">
        <v>13</v>
      </c>
      <c r="B8" s="7">
        <v>65.0</v>
      </c>
      <c r="C8" s="3"/>
      <c r="D8" s="8"/>
      <c r="E8" s="6" t="s">
        <v>14</v>
      </c>
      <c r="F8" s="9">
        <f>F2+F3+F4+F5</f>
        <v>29585.50637</v>
      </c>
      <c r="G8" s="12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6" t="s">
        <v>16</v>
      </c>
      <c r="B9" s="7">
        <v>1.0</v>
      </c>
      <c r="C9" s="3"/>
      <c r="D9" s="8"/>
      <c r="E9" s="6" t="s">
        <v>17</v>
      </c>
      <c r="F9" s="13">
        <v>0.0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6" t="s">
        <v>18</v>
      </c>
      <c r="B10" s="7">
        <v>0.4</v>
      </c>
      <c r="C10" s="3"/>
      <c r="D10" s="8"/>
      <c r="E10" s="7"/>
      <c r="F10" s="1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6" t="s">
        <v>19</v>
      </c>
      <c r="B11" s="7">
        <v>0.4</v>
      </c>
      <c r="C11" s="3"/>
      <c r="D11" s="8"/>
      <c r="E11" s="15" t="s">
        <v>20</v>
      </c>
      <c r="F11" s="16">
        <f>F8-F9</f>
        <v>29585.50637</v>
      </c>
      <c r="G11" s="17" t="s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6" t="s">
        <v>22</v>
      </c>
      <c r="B12" s="14">
        <v>370.0</v>
      </c>
      <c r="C12" s="3"/>
      <c r="D12" s="8"/>
      <c r="E12" s="18" t="s">
        <v>23</v>
      </c>
      <c r="F12" s="1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 t="s">
        <v>24</v>
      </c>
      <c r="B13" s="7">
        <f>5.67*10^-8</f>
        <v>0.0000000567</v>
      </c>
      <c r="C13" s="3"/>
      <c r="D13" s="20"/>
      <c r="E13" s="21"/>
      <c r="F13" s="2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3" t="s">
        <v>25</v>
      </c>
      <c r="B14" s="3">
        <f>(B22*B21)/B9</f>
        <v>160.7936751</v>
      </c>
      <c r="C14" s="3">
        <f>(C22*C21)/B9</f>
        <v>88.76421809</v>
      </c>
      <c r="D14" s="3"/>
      <c r="E14" s="3"/>
      <c r="F14" s="3"/>
      <c r="G14" s="3"/>
      <c r="H14" s="3"/>
      <c r="I14" s="2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3" t="s">
        <v>26</v>
      </c>
      <c r="B15" s="3">
        <v>90.0</v>
      </c>
      <c r="C15" s="3">
        <v>90.0</v>
      </c>
      <c r="D15" s="3"/>
      <c r="E15" s="3"/>
      <c r="F15" s="3"/>
      <c r="G15" s="3"/>
      <c r="H15" s="3"/>
      <c r="I15" s="2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3" t="s">
        <v>27</v>
      </c>
      <c r="B16" s="3">
        <f>(B18*B15*B9)/(B17)</f>
        <v>6414545.455</v>
      </c>
      <c r="C16" s="3">
        <f>(C18*C15*B9)/(C17)</f>
        <v>4018604.651</v>
      </c>
      <c r="D16" s="3"/>
      <c r="E16" s="3" t="s">
        <v>28</v>
      </c>
      <c r="F16" s="3"/>
      <c r="H16" s="3" t="s">
        <v>29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30</v>
      </c>
      <c r="B17" s="3">
        <f>27.5*10^-6</f>
        <v>0.0000275</v>
      </c>
      <c r="C17" s="3">
        <f>17.2*10^-6</f>
        <v>0.0000172</v>
      </c>
      <c r="D17" s="3"/>
      <c r="E17" s="25" t="s">
        <v>31</v>
      </c>
      <c r="F17" s="2"/>
      <c r="G17" s="24"/>
      <c r="H17" s="26" t="s">
        <v>32</v>
      </c>
      <c r="I17" s="2"/>
      <c r="J17" s="3"/>
      <c r="L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33</v>
      </c>
      <c r="B18" s="3">
        <v>1.96</v>
      </c>
      <c r="C18" s="3">
        <v>0.768</v>
      </c>
      <c r="D18" s="3"/>
      <c r="E18" s="6" t="s">
        <v>4</v>
      </c>
      <c r="F18" s="7">
        <f>$B$8*$B$9*0.008</f>
        <v>0.52</v>
      </c>
      <c r="G18" s="27" t="s">
        <v>34</v>
      </c>
      <c r="H18" s="6" t="s">
        <v>4</v>
      </c>
      <c r="I18" s="7">
        <v>0.0</v>
      </c>
      <c r="J18" s="24"/>
      <c r="L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35</v>
      </c>
      <c r="B19" s="3">
        <f t="shared" ref="B19:C19" si="1">((B17)*(B20))/B21</f>
        <v>1.132195122</v>
      </c>
      <c r="C19" s="3">
        <f t="shared" si="1"/>
        <v>0.7551219512</v>
      </c>
      <c r="D19" s="3"/>
      <c r="E19" s="6" t="s">
        <v>5</v>
      </c>
      <c r="F19" s="7">
        <v>150.0</v>
      </c>
      <c r="G19" s="24"/>
      <c r="H19" s="6" t="s">
        <v>5</v>
      </c>
      <c r="I19" s="7">
        <v>50.0</v>
      </c>
      <c r="J19" s="24"/>
      <c r="L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36</v>
      </c>
      <c r="B20" s="3">
        <v>844.0</v>
      </c>
      <c r="C20" s="3">
        <v>900.0</v>
      </c>
      <c r="D20" s="3"/>
      <c r="E20" s="6" t="s">
        <v>6</v>
      </c>
      <c r="F20" s="9">
        <f>((0.008*B13*B9*(B12^4-B6^4)*0.5)*4)*-1+(0.008*B13*B9*(B12^4-B6^4))*-1</f>
        <v>9.332897112</v>
      </c>
      <c r="G20" s="27" t="s">
        <v>34</v>
      </c>
      <c r="H20" s="6" t="s">
        <v>6</v>
      </c>
      <c r="I20" s="28">
        <f>((0.008*B13*B9*(B12^4-B7^4)*0.5)*4)+(0.008*B13*B9*(B12^4-B7^4))</f>
        <v>5.083077888</v>
      </c>
      <c r="J20" s="24" t="s">
        <v>37</v>
      </c>
      <c r="L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38</v>
      </c>
      <c r="B21" s="3">
        <v>0.0205</v>
      </c>
      <c r="C21" s="3">
        <v>0.0205</v>
      </c>
      <c r="D21" s="3"/>
      <c r="E21" s="7" t="s">
        <v>9</v>
      </c>
      <c r="F21" s="7">
        <f>(B14*B9*(B12-B6))*6*-1</f>
        <v>28942.86152</v>
      </c>
      <c r="G21" s="24" t="s">
        <v>39</v>
      </c>
      <c r="H21" s="7" t="s">
        <v>9</v>
      </c>
      <c r="I21" s="7">
        <f>(C14*B9*(B12-B7))*6</f>
        <v>10651.70617</v>
      </c>
      <c r="J21" s="24" t="s">
        <v>37</v>
      </c>
      <c r="L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40</v>
      </c>
      <c r="B22" s="3">
        <f t="shared" ref="B22:C22" si="2"> 0.3 + ((0.62 * B16^0.5 * B19^(1/3)) / ((1 + (0.4 / B19)^(2/3))^(1/4))) * ((1 + (B16 / 282000)^(5/8))^(4/5))</f>
        <v>7843.593907</v>
      </c>
      <c r="C22" s="3">
        <f t="shared" si="2"/>
        <v>4329.961858</v>
      </c>
      <c r="D22" s="3"/>
      <c r="E22" s="6"/>
      <c r="F22" s="28"/>
      <c r="G22" s="24"/>
      <c r="H22" s="6"/>
      <c r="I22" s="11"/>
      <c r="J22" s="24"/>
      <c r="L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 t="s">
        <v>41</v>
      </c>
      <c r="C23" s="3" t="s">
        <v>42</v>
      </c>
      <c r="D23" s="3"/>
      <c r="E23" s="7"/>
      <c r="F23" s="11"/>
      <c r="G23" s="24"/>
      <c r="H23" s="7"/>
      <c r="I23" s="29"/>
      <c r="J23" s="24"/>
      <c r="L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6" t="s">
        <v>14</v>
      </c>
      <c r="F24" s="9">
        <f>F18+F19+F10+F21</f>
        <v>29093.38152</v>
      </c>
      <c r="G24" s="24"/>
      <c r="H24" s="6" t="s">
        <v>14</v>
      </c>
      <c r="I24" s="9">
        <f>I19</f>
        <v>50</v>
      </c>
      <c r="J24" s="24"/>
      <c r="L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6" t="s">
        <v>17</v>
      </c>
      <c r="F25" s="13">
        <v>0.0</v>
      </c>
      <c r="G25" s="24"/>
      <c r="H25" s="6" t="s">
        <v>17</v>
      </c>
      <c r="I25" s="9">
        <f>I20+I21</f>
        <v>10656.78925</v>
      </c>
      <c r="J25" s="24"/>
      <c r="L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7"/>
      <c r="F26" s="7"/>
      <c r="G26" s="24"/>
      <c r="H26" s="7"/>
      <c r="I26" s="7"/>
      <c r="J26" s="24"/>
      <c r="L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15" t="s">
        <v>20</v>
      </c>
      <c r="F27" s="30">
        <f>F24-F25</f>
        <v>29093.38152</v>
      </c>
      <c r="G27" s="24" t="s">
        <v>43</v>
      </c>
      <c r="H27" s="15" t="s">
        <v>20</v>
      </c>
      <c r="I27" s="30">
        <f>I24-I25</f>
        <v>-10606.78925</v>
      </c>
      <c r="J27" s="27" t="s">
        <v>44</v>
      </c>
      <c r="L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18" t="s">
        <v>23</v>
      </c>
      <c r="F28" s="19"/>
      <c r="G28" s="24"/>
      <c r="H28" s="18" t="s">
        <v>23</v>
      </c>
      <c r="I28" s="19"/>
      <c r="J28" s="3"/>
      <c r="L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21"/>
      <c r="F29" s="22"/>
      <c r="G29" s="24"/>
      <c r="H29" s="21"/>
      <c r="I29" s="22"/>
      <c r="J29" s="3"/>
      <c r="K29" s="3"/>
      <c r="L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K30" s="3"/>
      <c r="L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2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2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2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2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2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2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2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2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2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2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2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2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2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2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2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2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2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2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2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2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2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2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2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2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2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2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2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2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2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2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2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2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2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2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2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2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2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2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2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2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2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2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2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2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2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2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2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2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2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2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2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2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2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2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2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2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2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2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2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2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2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2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2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2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2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2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2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2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2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2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2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2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2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2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2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2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2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2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2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2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2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2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2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2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2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2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2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2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2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2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2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2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2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2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2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2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2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2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2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2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2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2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2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2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2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2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2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2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2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2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2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2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2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2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2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2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2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2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2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2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2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2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2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2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2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2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2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2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2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2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2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2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2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2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2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2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2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2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2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2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2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2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2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2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2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2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2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2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2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2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2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2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2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2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2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2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2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2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2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2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2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2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2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2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2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2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2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2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2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2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2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2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2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2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2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2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2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2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2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2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2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2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2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2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2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2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2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2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2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2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2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2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2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2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2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2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2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D1:D13"/>
    <mergeCell ref="E1:F1"/>
    <mergeCell ref="E12:F13"/>
    <mergeCell ref="E17:F17"/>
    <mergeCell ref="H17:I17"/>
    <mergeCell ref="E28:F29"/>
    <mergeCell ref="H28:I29"/>
  </mergeCells>
  <printOptions/>
  <pageMargins bottom="0.75" footer="0.0" header="0.0" left="0.7" right="0.7" top="0.75"/>
  <pageSetup scale="5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7.25"/>
    <col customWidth="1" min="2" max="26" width="12.75"/>
  </cols>
  <sheetData>
    <row r="1" ht="15.75" customHeight="1">
      <c r="A1" s="31" t="s">
        <v>45</v>
      </c>
    </row>
    <row r="2" ht="15.75" customHeight="1">
      <c r="A2" s="31" t="s">
        <v>46</v>
      </c>
    </row>
    <row r="3" ht="15.75" customHeight="1">
      <c r="A3" s="32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2025-04-19T20:29:48Z</dcterms:created>
  <dc:creator>Shafayat Alam</dc:creator>
</cp:coreProperties>
</file>